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Tiers" sheetId="2" state="visible" r:id="rId4"/>
    <sheet name="Parametros" sheetId="3" state="visible" r:id="rId5"/>
    <sheet name="Simulador Cliente" sheetId="4" state="visible" r:id="rId6"/>
    <sheet name="Projecao Anual" sheetId="5" state="visible" r:id="rId7"/>
    <sheet name="Distribuicao Tiers" sheetId="6" state="visible" r:id="rId8"/>
    <sheet name="Cronogram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<sst xmlns="http://schemas.openxmlformats.org/spreadsheetml/2006/main" count="286" uniqueCount="196">
  <si>
    <t xml:space="preserve">PROGRAMA DE CASHBACK — LOJAS LURD'S</t>
  </si>
  <si>
    <t xml:space="preserve">Simulador de Tiers + Projeção Financeira</t>
  </si>
  <si>
    <t xml:space="preserve">ESTRUTURA DA PLANILHA</t>
  </si>
  <si>
    <t xml:space="preserve">• Tiers</t>
  </si>
  <si>
    <t xml:space="preserve">Configuração dos 4 níveis (Bronze, Prata, Ouro, Diamante) com critérios e benefícios</t>
  </si>
  <si>
    <t xml:space="preserve">• Parametros</t>
  </si>
  <si>
    <t xml:space="preserve">Parâmetros globais: validade, resgate mínimo, bônus aniversário, etc.</t>
  </si>
  <si>
    <t xml:space="preserve">• Simulador Cliente</t>
  </si>
  <si>
    <t xml:space="preserve">Simule o cashback gerado por uma cliente individual — varie tier, ticket, frequência</t>
  </si>
  <si>
    <t xml:space="preserve">• Projecao Anual</t>
  </si>
  <si>
    <t xml:space="preserve">Projeção financeira do programa em 3 cenários (conservador / realista / otimista)</t>
  </si>
  <si>
    <t xml:space="preserve">• Distribuicao Tiers</t>
  </si>
  <si>
    <t xml:space="preserve">Modelo de distribuição esperada da base por tier após maturação</t>
  </si>
  <si>
    <t xml:space="preserve">• Cronograma</t>
  </si>
  <si>
    <t xml:space="preserve">Roadmap dos próximos 90 dias de implementação</t>
  </si>
  <si>
    <t xml:space="preserve">LEGENDA DE CORES</t>
  </si>
  <si>
    <t xml:space="preserve">Azul</t>
  </si>
  <si>
    <t xml:space="preserve">Célula de INPUT — você pode alterar livremente</t>
  </si>
  <si>
    <t xml:space="preserve">Preto</t>
  </si>
  <si>
    <t xml:space="preserve">Célula CALCULADA — fórmula automática, não altere</t>
  </si>
  <si>
    <t xml:space="preserve">Amarelo</t>
  </si>
  <si>
    <t xml:space="preserve">Premissa-chave do modelo, revise antes de usar</t>
  </si>
  <si>
    <t xml:space="preserve">CONFIGURAÇÃO DOS TIERS DE CASHBACK</t>
  </si>
  <si>
    <t xml:space="preserve">Tier</t>
  </si>
  <si>
    <t xml:space="preserve">Critério (gasto 12m)</t>
  </si>
  <si>
    <t xml:space="preserve">% Cashback</t>
  </si>
  <si>
    <t xml:space="preserve">Validade (dias)</t>
  </si>
  <si>
    <t xml:space="preserve">Frete grátis acima de</t>
  </si>
  <si>
    <t xml:space="preserve">Frete grátis sempre</t>
  </si>
  <si>
    <t xml:space="preserve">Brinde aniversário</t>
  </si>
  <si>
    <t xml:space="preserve">Acesso antecipado / VIP</t>
  </si>
  <si>
    <t xml:space="preserve">Bronze</t>
  </si>
  <si>
    <t xml:space="preserve">—</t>
  </si>
  <si>
    <t xml:space="preserve">Não</t>
  </si>
  <si>
    <t xml:space="preserve">Prata</t>
  </si>
  <si>
    <t xml:space="preserve">Sim</t>
  </si>
  <si>
    <t xml:space="preserve">Ouro</t>
  </si>
  <si>
    <t xml:space="preserve">Diamante</t>
  </si>
  <si>
    <t xml:space="preserve">Sim (VIP)</t>
  </si>
  <si>
    <t xml:space="preserve">Notas:</t>
  </si>
  <si>
    <t xml:space="preserve">• Cliente sobe de tier ASSIM QUE atinge a meta de 12m. Avaliação automática diária.</t>
  </si>
  <si>
    <t xml:space="preserve">• Cliente permanece no tier por 12 meses sem comprar. Após isso, recalcula.</t>
  </si>
  <si>
    <t xml:space="preserve">• Diamante recebe convite por chamada direta — sinalização exclusiva.</t>
  </si>
  <si>
    <t xml:space="preserve">PARÂMETROS GLOBAIS DO PROGRAMA</t>
  </si>
  <si>
    <t xml:space="preserve">Parâmetro</t>
  </si>
  <si>
    <t xml:space="preserve">Valor</t>
  </si>
  <si>
    <t xml:space="preserve">Unidade</t>
  </si>
  <si>
    <t xml:space="preserve">Descrição / Lógica</t>
  </si>
  <si>
    <t xml:space="preserve">Resgate mínimo</t>
  </si>
  <si>
    <t xml:space="preserve">R$</t>
  </si>
  <si>
    <t xml:space="preserve">Saldo mínimo para começar a usar</t>
  </si>
  <si>
    <t xml:space="preserve">Uso máximo por compra</t>
  </si>
  <si>
    <t xml:space="preserve">%</t>
  </si>
  <si>
    <t xml:space="preserve">Cliente pode pagar até X% da compra em cashback</t>
  </si>
  <si>
    <t xml:space="preserve">Carência crédito</t>
  </si>
  <si>
    <t xml:space="preserve">dias</t>
  </si>
  <si>
    <t xml:space="preserve">Dias entre venda e crédito (devolução)</t>
  </si>
  <si>
    <t xml:space="preserve">Aviso suave expiração</t>
  </si>
  <si>
    <t xml:space="preserve">dias antes</t>
  </si>
  <si>
    <t xml:space="preserve">Primeiro WhatsApp avisando</t>
  </si>
  <si>
    <t xml:space="preserve">Aviso urgente expiração</t>
  </si>
  <si>
    <t xml:space="preserve">WhatsApp urgência</t>
  </si>
  <si>
    <t xml:space="preserve">Bônus boas-vindas</t>
  </si>
  <si>
    <t xml:space="preserve">Crédito ao completar cadastro + LGPD</t>
  </si>
  <si>
    <t xml:space="preserve">Bônus indicação (indicadora)</t>
  </si>
  <si>
    <t xml:space="preserve">Para quem indica, após 1ª compra da indicada</t>
  </si>
  <si>
    <t xml:space="preserve">Bônus indicação (indicada)</t>
  </si>
  <si>
    <t xml:space="preserve">Para quem foi indicada, após 1ª compra dela</t>
  </si>
  <si>
    <t xml:space="preserve">Bônus reativação</t>
  </si>
  <si>
    <t xml:space="preserve">Cliente sumida 90+ dias (campanha)</t>
  </si>
  <si>
    <t xml:space="preserve">Multiplicador aniversário</t>
  </si>
  <si>
    <t xml:space="preserve">x</t>
  </si>
  <si>
    <t xml:space="preserve">Cashback DOBRA no mês de aniversário</t>
  </si>
  <si>
    <t xml:space="preserve">Multiplicador dias fracos (qua/qui)</t>
  </si>
  <si>
    <t xml:space="preserve">Cashback 50% maior em qua/qui</t>
  </si>
  <si>
    <t xml:space="preserve">Multiplicador 1ª compra alta</t>
  </si>
  <si>
    <t xml:space="preserve">Dobra se 1ª compra ≥ R$ 500</t>
  </si>
  <si>
    <t xml:space="preserve">Valor mínimo 1ª compra alta</t>
  </si>
  <si>
    <t xml:space="preserve">Limiar para acionar bônus de 1ª compra</t>
  </si>
  <si>
    <t xml:space="preserve">Inatividade para reativação</t>
  </si>
  <si>
    <t xml:space="preserve">Dias sem comprar = inativa</t>
  </si>
  <si>
    <t xml:space="preserve">SIMULADOR DE CASHBACK POR CLIENTE</t>
  </si>
  <si>
    <t xml:space="preserve">INPUTS (altere os valores em azul)</t>
  </si>
  <si>
    <t xml:space="preserve">Tier da cliente</t>
  </si>
  <si>
    <t xml:space="preserve">Bronze / Prata / Ouro / Diamante</t>
  </si>
  <si>
    <t xml:space="preserve">Ticket médio (R$)</t>
  </si>
  <si>
    <t xml:space="preserve">Valor médio gasto por compra</t>
  </si>
  <si>
    <t xml:space="preserve">Compras por ano</t>
  </si>
  <si>
    <t xml:space="preserve">Frequência anual</t>
  </si>
  <si>
    <t xml:space="preserve">É mês de aniversário?</t>
  </si>
  <si>
    <t xml:space="preserve">Sim aplica multiplicador 2x</t>
  </si>
  <si>
    <t xml:space="preserve">É compra em qua/qui?</t>
  </si>
  <si>
    <t xml:space="preserve">Sim aplica multiplicador 1.5x</t>
  </si>
  <si>
    <t xml:space="preserve">CÁLCULO</t>
  </si>
  <si>
    <t xml:space="preserve">% Cashback do tier</t>
  </si>
  <si>
    <t xml:space="preserve">Multiplicador qua/qui</t>
  </si>
  <si>
    <t xml:space="preserve">% efetivo aplicado</t>
  </si>
  <si>
    <t xml:space="preserve">Cashback por compra (R$)</t>
  </si>
  <si>
    <t xml:space="preserve">Cashback anual gerado (R$)</t>
  </si>
  <si>
    <t xml:space="preserve">Faturamento da cliente / ano (R$)</t>
  </si>
  <si>
    <t xml:space="preserve">Custo do cashback s/ faturamento</t>
  </si>
  <si>
    <t xml:space="preserve">COMPARATIVO ENTRE TIERS (mesmo perfil de compra)</t>
  </si>
  <si>
    <t xml:space="preserve">Cashback/ano</t>
  </si>
  <si>
    <t xml:space="preserve">Fat./ano</t>
  </si>
  <si>
    <t xml:space="preserve">Custo %</t>
  </si>
  <si>
    <t xml:space="preserve">PROJEÇÃO FINANCEIRA — 12 MESES</t>
  </si>
  <si>
    <t xml:space="preserve">PREMISSAS BASE (altere para simular)</t>
  </si>
  <si>
    <t xml:space="preserve">Base atual de clientes ativos</t>
  </si>
  <si>
    <t xml:space="preserve">Total cadastros Giga</t>
  </si>
  <si>
    <t xml:space="preserve">% clientes elegíveis (com celular)</t>
  </si>
  <si>
    <t xml:space="preserve">Quem dá pra impactar via WhatsApp</t>
  </si>
  <si>
    <t xml:space="preserve">% adesão ao cashback</t>
  </si>
  <si>
    <t xml:space="preserve">Dos elegíveis, quantos % vão usar</t>
  </si>
  <si>
    <t xml:space="preserve">Valor médio por compra</t>
  </si>
  <si>
    <t xml:space="preserve">Compras médias / ano por cliente</t>
  </si>
  <si>
    <t xml:space="preserve">Frequência média</t>
  </si>
  <si>
    <t xml:space="preserve">% adicional de compra por causa do cashback</t>
  </si>
  <si>
    <t xml:space="preserve">Lift de frequência esperado</t>
  </si>
  <si>
    <t xml:space="preserve">% cashback médio efetivo</t>
  </si>
  <si>
    <t xml:space="preserve">Mix entre tiers (média ponderada)</t>
  </si>
  <si>
    <t xml:space="preserve">% resgate efetivo</t>
  </si>
  <si>
    <t xml:space="preserve">% do cashback gerado que é resgatado</t>
  </si>
  <si>
    <t xml:space="preserve">Clientes elegíveis</t>
  </si>
  <si>
    <t xml:space="preserve">Clientes aderindo ao programa</t>
  </si>
  <si>
    <t xml:space="preserve">Compras/ano SEM cashback (todos)</t>
  </si>
  <si>
    <t xml:space="preserve">Compras/ano COM cashback (aderentes)</t>
  </si>
  <si>
    <t xml:space="preserve">Compras incrementais geradas/ano</t>
  </si>
  <si>
    <t xml:space="preserve">Faturamento SEM cashback (R$)</t>
  </si>
  <si>
    <t xml:space="preserve">Faturamento COM cashback (R$)</t>
  </si>
  <si>
    <t xml:space="preserve">Faturamento INCREMENTAL (R$)</t>
  </si>
  <si>
    <t xml:space="preserve">Cashback gerado (R$)</t>
  </si>
  <si>
    <t xml:space="preserve">Cashback efetivamente resgatado (R$)</t>
  </si>
  <si>
    <t xml:space="preserve">CUSTO REAL do programa (R$)</t>
  </si>
  <si>
    <t xml:space="preserve">ROI do programa (Faturamento incremental / custo)</t>
  </si>
  <si>
    <t xml:space="preserve">ROI bruto (Faturamento total novo / custo)</t>
  </si>
  <si>
    <t xml:space="preserve">CENÁRIOS (alteração apenas das premissas-chave)</t>
  </si>
  <si>
    <t xml:space="preserve">Cenário</t>
  </si>
  <si>
    <t xml:space="preserve">Adesão</t>
  </si>
  <si>
    <t xml:space="preserve">Lift</t>
  </si>
  <si>
    <t xml:space="preserve">Resgate</t>
  </si>
  <si>
    <t xml:space="preserve">Custo (R$)</t>
  </si>
  <si>
    <t xml:space="preserve">Faturamento incremental</t>
  </si>
  <si>
    <t xml:space="preserve">Conservador</t>
  </si>
  <si>
    <t xml:space="preserve">Realista</t>
  </si>
  <si>
    <t xml:space="preserve">Otimista</t>
  </si>
  <si>
    <t xml:space="preserve">DISTRIBUIÇÃO ESPERADA DA BASE POR TIER (após 12m)</t>
  </si>
  <si>
    <t xml:space="preserve">Pirâmide típica de programa de fidelidade plus size (benchmark mercado)</t>
  </si>
  <si>
    <t xml:space="preserve">% da base</t>
  </si>
  <si>
    <t xml:space="preserve">Qtd clientes (estimada)</t>
  </si>
  <si>
    <t xml:space="preserve">Faturamento médio/ano</t>
  </si>
  <si>
    <t xml:space="preserve">Faturamento total/ano</t>
  </si>
  <si>
    <t xml:space="preserve">TOTAL</t>
  </si>
  <si>
    <t xml:space="preserve">Base total aderente (input):</t>
  </si>
  <si>
    <t xml:space="preserve">CRONOGRAMA DE IMPLEMENTAÇÃO — 90 DIAS</t>
  </si>
  <si>
    <t xml:space="preserve">Semana</t>
  </si>
  <si>
    <t xml:space="preserve">Frente</t>
  </si>
  <si>
    <t xml:space="preserve">Ação</t>
  </si>
  <si>
    <t xml:space="preserve">Responsável</t>
  </si>
  <si>
    <t xml:space="preserve">Status</t>
  </si>
  <si>
    <t xml:space="preserve">Sem 1</t>
  </si>
  <si>
    <t xml:space="preserve">TI/Banco</t>
  </si>
  <si>
    <t xml:space="preserve">Provisionar PostgreSQL (Supabase ou RDS)</t>
  </si>
  <si>
    <t xml:space="preserve">TI</t>
  </si>
  <si>
    <t xml:space="preserve">A fazer</t>
  </si>
  <si>
    <t xml:space="preserve">Rodar 01_schema_crm.sql (criar estrutura)</t>
  </si>
  <si>
    <t xml:space="preserve">Operação</t>
  </si>
  <si>
    <t xml:space="preserve">Definir termo LGPD oficial (jurídico)</t>
  </si>
  <si>
    <t xml:space="preserve">Jurídico</t>
  </si>
  <si>
    <t xml:space="preserve">Sem 2</t>
  </si>
  <si>
    <t xml:space="preserve">Exportar clientes do Giga + rodar 02_migracao_inicial</t>
  </si>
  <si>
    <t xml:space="preserve">Rodar 04_regras_cashback.sql (regras de negócio)</t>
  </si>
  <si>
    <t xml:space="preserve">Marketing</t>
  </si>
  <si>
    <t xml:space="preserve">Criar arte de cartão fidelidade físico</t>
  </si>
  <si>
    <t xml:space="preserve">Sem 3</t>
  </si>
  <si>
    <t xml:space="preserve">Treinar vendedoras: novo fluxo PDV + script captura</t>
  </si>
  <si>
    <t xml:space="preserve">Gerência</t>
  </si>
  <si>
    <t xml:space="preserve">Preparar templates WhatsApp (boas-vindas, saldo, expiração)</t>
  </si>
  <si>
    <t xml:space="preserve">Sem 4</t>
  </si>
  <si>
    <t xml:space="preserve">PILOTO em 1 loja (Itanhaém) — coleta cadastro + testa cashback</t>
  </si>
  <si>
    <t xml:space="preserve">Loja piloto</t>
  </si>
  <si>
    <t xml:space="preserve">Coleta diária de feedback das vendedoras</t>
  </si>
  <si>
    <t xml:space="preserve">Sem 5-6</t>
  </si>
  <si>
    <t xml:space="preserve">Ajustes finos no fluxo baseado no piloto</t>
  </si>
  <si>
    <t xml:space="preserve">Todos</t>
  </si>
  <si>
    <t xml:space="preserve">Campanha boas-vindas para base existente com WhatsApp</t>
  </si>
  <si>
    <t xml:space="preserve">Sem 7-8</t>
  </si>
  <si>
    <t xml:space="preserve">Rollout para mais 3 lojas</t>
  </si>
  <si>
    <t xml:space="preserve">Primeira mala direta física (3.084 clientes com CEP)</t>
  </si>
  <si>
    <t xml:space="preserve">Sem 9-10</t>
  </si>
  <si>
    <t xml:space="preserve">Rollout completo — 14 lojas</t>
  </si>
  <si>
    <t xml:space="preserve">Configurar sync diário Giga → sistema novo</t>
  </si>
  <si>
    <t xml:space="preserve">Sem 11-12</t>
  </si>
  <si>
    <t xml:space="preserve">Análise</t>
  </si>
  <si>
    <t xml:space="preserve">Primeira mensuração de adesão + ROI</t>
  </si>
  <si>
    <t xml:space="preserve">CEO/BI</t>
  </si>
  <si>
    <t xml:space="preserve">Ajustar régua de comunicação baseado em dados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</si>
</sst>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&quot;R$ &quot;#,##0.00"/>
    <numFmt numFmtId="166" formatCode="0.0%"/>
    <numFmt numFmtId="167" formatCode="0"/>
    <numFmt numFmtId="168" formatCode="0.0\x"/>
    <numFmt numFmtId="169" formatCode="#,##0"/>
    <numFmt numFmtId="170" formatCode="&quot;R$ &quot;#,##0"/>
    <numFmt numFmtId="171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14"/>
      <color rgb="FF5D2A5C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5D2A5C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62828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5D2A5C"/>
        <bgColor rgb="FF333399"/>
      </patternFill>
    </fill>
    <fill>
      <patternFill patternType="solid">
        <fgColor rgb="FFFFE0B2"/>
        <bgColor rgb="FFFFF9C4"/>
      </patternFill>
    </fill>
    <fill>
      <patternFill patternType="solid">
        <fgColor rgb="FFFFF9C4"/>
        <bgColor rgb="FFFFFF99"/>
      </patternFill>
    </fill>
    <fill>
      <patternFill patternType="solid">
        <fgColor rgb="FFCD7F32"/>
        <bgColor rgb="FFFF8080"/>
      </patternFill>
    </fill>
    <fill>
      <patternFill patternType="solid">
        <fgColor rgb="FFC0C0C0"/>
        <bgColor rgb="FFCCCCCC"/>
      </patternFill>
    </fill>
    <fill>
      <patternFill patternType="solid">
        <fgColor rgb="FFFFD700"/>
        <bgColor rgb="FFFFFF00"/>
      </patternFill>
    </fill>
    <fill>
      <patternFill patternType="solid">
        <fgColor rgb="FFB9F2FF"/>
        <bgColor rgb="FFCCFFCC"/>
      </patternFill>
    </fill>
    <fill>
      <patternFill patternType="solid">
        <fgColor rgb="FFE8F5E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B9F2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CFFCC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D700"/>
      <rgbColor rgb="FFFF9900"/>
      <rgbColor rgb="FFCD7F32"/>
      <rgbColor rgb="FF666699"/>
      <rgbColor rgb="FF969696"/>
      <rgbColor rgb="FF003366"/>
      <rgbColor rgb="FF339966"/>
      <rgbColor rgb="FF003300"/>
      <rgbColor rgb="FF333300"/>
      <rgbColor rgb="FFC62828"/>
      <rgbColor rgb="FF993366"/>
      <rgbColor rgb="FF333399"/>
      <rgbColor rgb="FF5D2A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8" min="3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4" customFormat="false" ht="17.35" hidden="false" customHeight="fals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6" customFormat="false" ht="15" hidden="false" customHeight="false" outlineLevel="0" collapsed="false">
      <c r="A6" s="3" t="s">
        <v>2</v>
      </c>
      <c r="B6" s="3"/>
      <c r="C6" s="3"/>
      <c r="D6" s="3"/>
      <c r="E6" s="3"/>
      <c r="F6" s="3"/>
      <c r="G6" s="3"/>
      <c r="H6" s="3"/>
    </row>
    <row r="8" customFormat="false" ht="15" hidden="false" customHeight="false" outlineLevel="0" collapsed="false">
      <c r="A8" s="4" t="s">
        <v>3</v>
      </c>
      <c r="B8" s="5" t="s">
        <v>4</v>
      </c>
      <c r="C8" s="5"/>
      <c r="D8" s="5"/>
      <c r="E8" s="5"/>
      <c r="F8" s="5"/>
      <c r="G8" s="5"/>
      <c r="H8" s="5"/>
    </row>
    <row r="9" customFormat="false" ht="15" hidden="false" customHeight="false" outlineLevel="0" collapsed="false">
      <c r="A9" s="4" t="s">
        <v>5</v>
      </c>
      <c r="B9" s="5" t="s">
        <v>6</v>
      </c>
      <c r="C9" s="5"/>
      <c r="D9" s="5"/>
      <c r="E9" s="5"/>
      <c r="F9" s="5"/>
      <c r="G9" s="5"/>
      <c r="H9" s="5"/>
    </row>
    <row r="10" customFormat="false" ht="15" hidden="false" customHeight="false" outlineLevel="0" collapsed="false">
      <c r="A10" s="4" t="s">
        <v>7</v>
      </c>
      <c r="B10" s="5" t="s">
        <v>8</v>
      </c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4" t="s">
        <v>9</v>
      </c>
      <c r="B11" s="5" t="s">
        <v>10</v>
      </c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4" t="s">
        <v>11</v>
      </c>
      <c r="B12" s="5" t="s">
        <v>12</v>
      </c>
      <c r="C12" s="5"/>
      <c r="D12" s="5"/>
      <c r="E12" s="5"/>
      <c r="F12" s="5"/>
      <c r="G12" s="5"/>
      <c r="H12" s="5"/>
    </row>
    <row r="13" customFormat="false" ht="15" hidden="false" customHeight="false" outlineLevel="0" collapsed="false">
      <c r="A13" s="4" t="s">
        <v>13</v>
      </c>
      <c r="B13" s="5" t="s">
        <v>14</v>
      </c>
      <c r="C13" s="5"/>
      <c r="D13" s="5"/>
      <c r="E13" s="5"/>
      <c r="F13" s="5"/>
      <c r="G13" s="5"/>
      <c r="H13" s="5"/>
    </row>
    <row r="16" customFormat="false" ht="15" hidden="false" customHeight="false" outlineLevel="0" collapsed="false">
      <c r="A16" s="3" t="s">
        <v>15</v>
      </c>
      <c r="B16" s="3"/>
      <c r="C16" s="3"/>
      <c r="D16" s="3"/>
      <c r="E16" s="3"/>
      <c r="F16" s="3"/>
      <c r="G16" s="3"/>
      <c r="H16" s="3"/>
    </row>
    <row r="18" customFormat="false" ht="15" hidden="false" customHeight="false" outlineLevel="0" collapsed="false">
      <c r="A18" s="6" t="s">
        <v>16</v>
      </c>
      <c r="B18" s="7" t="s">
        <v>17</v>
      </c>
    </row>
    <row r="19" customFormat="false" ht="15" hidden="false" customHeight="false" outlineLevel="0" collapsed="false">
      <c r="A19" s="7" t="s">
        <v>18</v>
      </c>
      <c r="B19" s="7" t="s">
        <v>19</v>
      </c>
    </row>
    <row r="20" customFormat="false" ht="15" hidden="false" customHeight="false" outlineLevel="0" collapsed="false">
      <c r="A20" s="8" t="s">
        <v>20</v>
      </c>
      <c r="B20" s="7" t="s">
        <v>21</v>
      </c>
    </row>
  </sheetData>
  <mergeCells count="10">
    <mergeCell ref="A1:H2"/>
    <mergeCell ref="A4:H4"/>
    <mergeCell ref="A6:H6"/>
    <mergeCell ref="B8:H8"/>
    <mergeCell ref="B9:H9"/>
    <mergeCell ref="B10:H10"/>
    <mergeCell ref="B11:H11"/>
    <mergeCell ref="B12:H12"/>
    <mergeCell ref="B13:H13"/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8" min="3" style="0" width="18"/>
  </cols>
  <sheetData>
    <row r="1" customFormat="false" ht="27.75" hidden="false" customHeight="true" outlineLevel="0" collapsed="false">
      <c r="A1" s="9" t="s">
        <v>22</v>
      </c>
      <c r="B1" s="9"/>
      <c r="C1" s="9"/>
      <c r="D1" s="9"/>
      <c r="E1" s="9"/>
      <c r="F1" s="9"/>
      <c r="G1" s="9"/>
      <c r="H1" s="9"/>
    </row>
    <row r="3" customFormat="false" ht="37.5" hidden="false" customHeight="true" outlineLevel="0" collapsed="false">
      <c r="A3" s="10" t="s">
        <v>23</v>
      </c>
      <c r="B3" s="10" t="s">
        <v>24</v>
      </c>
      <c r="C3" s="10" t="s">
        <v>25</v>
      </c>
      <c r="D3" s="10" t="s">
        <v>26</v>
      </c>
      <c r="E3" s="10" t="s">
        <v>27</v>
      </c>
      <c r="F3" s="10" t="s">
        <v>28</v>
      </c>
      <c r="G3" s="10" t="s">
        <v>29</v>
      </c>
      <c r="H3" s="10" t="s">
        <v>30</v>
      </c>
    </row>
    <row r="4" customFormat="false" ht="30" hidden="false" customHeight="true" outlineLevel="0" collapsed="false">
      <c r="A4" s="11" t="s">
        <v>31</v>
      </c>
      <c r="B4" s="12" t="n">
        <v>0</v>
      </c>
      <c r="C4" s="13" t="n">
        <v>0.03</v>
      </c>
      <c r="D4" s="14" t="n">
        <v>60</v>
      </c>
      <c r="E4" s="15" t="s">
        <v>32</v>
      </c>
      <c r="F4" s="15" t="s">
        <v>33</v>
      </c>
      <c r="G4" s="15" t="s">
        <v>33</v>
      </c>
      <c r="H4" s="15" t="s">
        <v>33</v>
      </c>
    </row>
    <row r="5" customFormat="false" ht="30" hidden="false" customHeight="true" outlineLevel="0" collapsed="false">
      <c r="A5" s="16" t="s">
        <v>34</v>
      </c>
      <c r="B5" s="12" t="n">
        <v>1500</v>
      </c>
      <c r="C5" s="13" t="n">
        <v>0.05</v>
      </c>
      <c r="D5" s="14" t="n">
        <v>90</v>
      </c>
      <c r="E5" s="12" t="n">
        <v>199</v>
      </c>
      <c r="F5" s="15" t="s">
        <v>33</v>
      </c>
      <c r="G5" s="15" t="s">
        <v>35</v>
      </c>
      <c r="H5" s="15" t="s">
        <v>33</v>
      </c>
    </row>
    <row r="6" customFormat="false" ht="30" hidden="false" customHeight="true" outlineLevel="0" collapsed="false">
      <c r="A6" s="17" t="s">
        <v>36</v>
      </c>
      <c r="B6" s="12" t="n">
        <v>4000</v>
      </c>
      <c r="C6" s="13" t="n">
        <v>0.07</v>
      </c>
      <c r="D6" s="14" t="n">
        <v>120</v>
      </c>
      <c r="E6" s="15" t="s">
        <v>32</v>
      </c>
      <c r="F6" s="15" t="s">
        <v>35</v>
      </c>
      <c r="G6" s="15" t="s">
        <v>35</v>
      </c>
      <c r="H6" s="15" t="s">
        <v>33</v>
      </c>
    </row>
    <row r="7" customFormat="false" ht="30" hidden="false" customHeight="true" outlineLevel="0" collapsed="false">
      <c r="A7" s="18" t="s">
        <v>37</v>
      </c>
      <c r="B7" s="12" t="n">
        <v>10000</v>
      </c>
      <c r="C7" s="13" t="n">
        <v>0.1</v>
      </c>
      <c r="D7" s="14" t="n">
        <v>180</v>
      </c>
      <c r="E7" s="15" t="s">
        <v>32</v>
      </c>
      <c r="F7" s="15" t="s">
        <v>35</v>
      </c>
      <c r="G7" s="15" t="s">
        <v>35</v>
      </c>
      <c r="H7" s="15" t="s">
        <v>38</v>
      </c>
    </row>
    <row r="10" customFormat="false" ht="15" hidden="false" customHeight="false" outlineLevel="0" collapsed="false">
      <c r="A10" s="19" t="s">
        <v>39</v>
      </c>
    </row>
    <row r="11" customFormat="false" ht="15" hidden="false" customHeight="false" outlineLevel="0" collapsed="false">
      <c r="A11" s="5" t="s">
        <v>40</v>
      </c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5" t="s">
        <v>41</v>
      </c>
      <c r="B12" s="5"/>
      <c r="C12" s="5"/>
      <c r="D12" s="5"/>
      <c r="E12" s="5"/>
      <c r="F12" s="5"/>
      <c r="G12" s="5"/>
      <c r="H12" s="5"/>
    </row>
    <row r="13" customFormat="false" ht="15" hidden="false" customHeight="false" outlineLevel="0" collapsed="false">
      <c r="A13" s="5" t="s">
        <v>42</v>
      </c>
      <c r="B13" s="5"/>
      <c r="C13" s="5"/>
      <c r="D13" s="5"/>
      <c r="E13" s="5"/>
      <c r="F13" s="5"/>
      <c r="G13" s="5"/>
      <c r="H13" s="5"/>
    </row>
  </sheetData>
  <mergeCells count="4">
    <mergeCell ref="A1:H1"/>
    <mergeCell ref="A11:H11"/>
    <mergeCell ref="A12:H12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4"/>
    <col collapsed="false" customWidth="true" hidden="false" outlineLevel="0" max="4" min="4" style="0" width="60"/>
  </cols>
  <sheetData>
    <row r="1" customFormat="false" ht="27.75" hidden="false" customHeight="true" outlineLevel="0" collapsed="false">
      <c r="A1" s="9" t="s">
        <v>43</v>
      </c>
      <c r="B1" s="9"/>
      <c r="C1" s="9"/>
      <c r="D1" s="9"/>
    </row>
    <row r="3" customFormat="false" ht="24" hidden="false" customHeight="true" outlineLevel="0" collapsed="false">
      <c r="A3" s="20" t="s">
        <v>44</v>
      </c>
      <c r="B3" s="20" t="s">
        <v>45</v>
      </c>
      <c r="C3" s="20" t="s">
        <v>46</v>
      </c>
      <c r="D3" s="20" t="s">
        <v>47</v>
      </c>
    </row>
    <row r="4" customFormat="false" ht="15" hidden="false" customHeight="false" outlineLevel="0" collapsed="false">
      <c r="A4" s="21" t="s">
        <v>48</v>
      </c>
      <c r="B4" s="22" t="n">
        <v>20</v>
      </c>
      <c r="C4" s="23" t="s">
        <v>49</v>
      </c>
      <c r="D4" s="21" t="s">
        <v>50</v>
      </c>
    </row>
    <row r="5" customFormat="false" ht="15" hidden="false" customHeight="false" outlineLevel="0" collapsed="false">
      <c r="A5" s="21" t="s">
        <v>51</v>
      </c>
      <c r="B5" s="24" t="n">
        <v>0.3</v>
      </c>
      <c r="C5" s="23" t="s">
        <v>52</v>
      </c>
      <c r="D5" s="21" t="s">
        <v>53</v>
      </c>
    </row>
    <row r="6" customFormat="false" ht="15" hidden="false" customHeight="false" outlineLevel="0" collapsed="false">
      <c r="A6" s="21" t="s">
        <v>54</v>
      </c>
      <c r="B6" s="25" t="n">
        <v>7</v>
      </c>
      <c r="C6" s="23" t="s">
        <v>55</v>
      </c>
      <c r="D6" s="21" t="s">
        <v>56</v>
      </c>
    </row>
    <row r="7" customFormat="false" ht="15" hidden="false" customHeight="false" outlineLevel="0" collapsed="false">
      <c r="A7" s="21" t="s">
        <v>57</v>
      </c>
      <c r="B7" s="25" t="n">
        <v>30</v>
      </c>
      <c r="C7" s="23" t="s">
        <v>58</v>
      </c>
      <c r="D7" s="21" t="s">
        <v>59</v>
      </c>
    </row>
    <row r="8" customFormat="false" ht="15" hidden="false" customHeight="false" outlineLevel="0" collapsed="false">
      <c r="A8" s="21" t="s">
        <v>60</v>
      </c>
      <c r="B8" s="25" t="n">
        <v>7</v>
      </c>
      <c r="C8" s="23" t="s">
        <v>58</v>
      </c>
      <c r="D8" s="21" t="s">
        <v>61</v>
      </c>
    </row>
    <row r="9" customFormat="false" ht="15" hidden="false" customHeight="false" outlineLevel="0" collapsed="false">
      <c r="A9" s="21" t="s">
        <v>62</v>
      </c>
      <c r="B9" s="22" t="n">
        <v>20</v>
      </c>
      <c r="C9" s="23" t="s">
        <v>49</v>
      </c>
      <c r="D9" s="21" t="s">
        <v>63</v>
      </c>
    </row>
    <row r="10" customFormat="false" ht="15" hidden="false" customHeight="false" outlineLevel="0" collapsed="false">
      <c r="A10" s="21" t="s">
        <v>64</v>
      </c>
      <c r="B10" s="22" t="n">
        <v>30</v>
      </c>
      <c r="C10" s="23" t="s">
        <v>49</v>
      </c>
      <c r="D10" s="21" t="s">
        <v>65</v>
      </c>
    </row>
    <row r="11" customFormat="false" ht="15" hidden="false" customHeight="false" outlineLevel="0" collapsed="false">
      <c r="A11" s="21" t="s">
        <v>66</v>
      </c>
      <c r="B11" s="22" t="n">
        <v>30</v>
      </c>
      <c r="C11" s="23" t="s">
        <v>49</v>
      </c>
      <c r="D11" s="21" t="s">
        <v>67</v>
      </c>
    </row>
    <row r="12" customFormat="false" ht="15" hidden="false" customHeight="false" outlineLevel="0" collapsed="false">
      <c r="A12" s="21" t="s">
        <v>68</v>
      </c>
      <c r="B12" s="22" t="n">
        <v>25</v>
      </c>
      <c r="C12" s="23" t="s">
        <v>49</v>
      </c>
      <c r="D12" s="21" t="s">
        <v>69</v>
      </c>
    </row>
    <row r="13" customFormat="false" ht="15" hidden="false" customHeight="false" outlineLevel="0" collapsed="false">
      <c r="A13" s="21" t="s">
        <v>70</v>
      </c>
      <c r="B13" s="26" t="n">
        <v>2</v>
      </c>
      <c r="C13" s="23" t="s">
        <v>71</v>
      </c>
      <c r="D13" s="21" t="s">
        <v>72</v>
      </c>
    </row>
    <row r="14" customFormat="false" ht="15" hidden="false" customHeight="false" outlineLevel="0" collapsed="false">
      <c r="A14" s="21" t="s">
        <v>73</v>
      </c>
      <c r="B14" s="26" t="n">
        <v>1.5</v>
      </c>
      <c r="C14" s="23" t="s">
        <v>71</v>
      </c>
      <c r="D14" s="21" t="s">
        <v>74</v>
      </c>
    </row>
    <row r="15" customFormat="false" ht="15" hidden="false" customHeight="false" outlineLevel="0" collapsed="false">
      <c r="A15" s="21" t="s">
        <v>75</v>
      </c>
      <c r="B15" s="26" t="n">
        <v>2</v>
      </c>
      <c r="C15" s="23" t="s">
        <v>71</v>
      </c>
      <c r="D15" s="21" t="s">
        <v>76</v>
      </c>
    </row>
    <row r="16" customFormat="false" ht="15" hidden="false" customHeight="false" outlineLevel="0" collapsed="false">
      <c r="A16" s="21" t="s">
        <v>77</v>
      </c>
      <c r="B16" s="22" t="n">
        <v>500</v>
      </c>
      <c r="C16" s="23" t="s">
        <v>49</v>
      </c>
      <c r="D16" s="21" t="s">
        <v>78</v>
      </c>
    </row>
    <row r="17" customFormat="false" ht="15" hidden="false" customHeight="false" outlineLevel="0" collapsed="false">
      <c r="A17" s="21" t="s">
        <v>79</v>
      </c>
      <c r="B17" s="25" t="n">
        <v>90</v>
      </c>
      <c r="C17" s="23" t="s">
        <v>55</v>
      </c>
      <c r="D17" s="21" t="s">
        <v>80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8"/>
    <col collapsed="false" customWidth="true" hidden="false" outlineLevel="0" max="6" min="5" style="0" width="14"/>
  </cols>
  <sheetData>
    <row r="1" customFormat="false" ht="27.75" hidden="false" customHeight="true" outlineLevel="0" collapsed="false">
      <c r="A1" s="9" t="s">
        <v>81</v>
      </c>
      <c r="B1" s="9"/>
      <c r="C1" s="9"/>
      <c r="D1" s="9"/>
      <c r="E1" s="9"/>
      <c r="F1" s="9"/>
    </row>
    <row r="3" customFormat="false" ht="15" hidden="false" customHeight="false" outlineLevel="0" collapsed="false">
      <c r="A3" s="3" t="s">
        <v>82</v>
      </c>
      <c r="B3" s="3"/>
      <c r="C3" s="3"/>
      <c r="D3" s="3"/>
      <c r="E3" s="3"/>
      <c r="F3" s="3"/>
    </row>
    <row r="4" customFormat="false" ht="15" hidden="false" customHeight="false" outlineLevel="0" collapsed="false">
      <c r="A4" s="21" t="s">
        <v>83</v>
      </c>
      <c r="B4" s="27" t="s">
        <v>34</v>
      </c>
      <c r="C4" s="21" t="s">
        <v>84</v>
      </c>
    </row>
    <row r="5" customFormat="false" ht="15" hidden="false" customHeight="false" outlineLevel="0" collapsed="false">
      <c r="A5" s="21" t="s">
        <v>85</v>
      </c>
      <c r="B5" s="28" t="n">
        <v>280</v>
      </c>
      <c r="C5" s="21" t="s">
        <v>86</v>
      </c>
    </row>
    <row r="6" customFormat="false" ht="15" hidden="false" customHeight="false" outlineLevel="0" collapsed="false">
      <c r="A6" s="21" t="s">
        <v>87</v>
      </c>
      <c r="B6" s="27" t="n">
        <v>6</v>
      </c>
      <c r="C6" s="21" t="s">
        <v>88</v>
      </c>
    </row>
    <row r="7" customFormat="false" ht="15" hidden="false" customHeight="false" outlineLevel="0" collapsed="false">
      <c r="A7" s="21" t="s">
        <v>89</v>
      </c>
      <c r="B7" s="27" t="s">
        <v>33</v>
      </c>
      <c r="C7" s="21" t="s">
        <v>90</v>
      </c>
    </row>
    <row r="8" customFormat="false" ht="15" hidden="false" customHeight="false" outlineLevel="0" collapsed="false">
      <c r="A8" s="21" t="s">
        <v>91</v>
      </c>
      <c r="B8" s="27" t="s">
        <v>33</v>
      </c>
      <c r="C8" s="21" t="s">
        <v>92</v>
      </c>
    </row>
    <row r="11" customFormat="false" ht="15" hidden="false" customHeight="false" outlineLevel="0" collapsed="false">
      <c r="A11" s="3" t="s">
        <v>93</v>
      </c>
      <c r="B11" s="3"/>
      <c r="C11" s="3"/>
      <c r="D11" s="3"/>
      <c r="E11" s="3"/>
      <c r="F11" s="3"/>
    </row>
    <row r="12" customFormat="false" ht="15" hidden="false" customHeight="false" outlineLevel="0" collapsed="false">
      <c r="A12" s="21" t="s">
        <v>94</v>
      </c>
      <c r="B12" s="29" t="n">
        <f aca="false">VLOOKUP(B4,Tiers!A4:C7,3,FALSE())</f>
        <v>0.05</v>
      </c>
      <c r="C12" s="30"/>
      <c r="D12" s="30"/>
      <c r="E12" s="30"/>
      <c r="F12" s="30"/>
    </row>
    <row r="13" customFormat="false" ht="15" hidden="false" customHeight="false" outlineLevel="0" collapsed="false">
      <c r="A13" s="21" t="s">
        <v>70</v>
      </c>
      <c r="B13" s="31" t="n">
        <f aca="false">IF(B7="Sim",Parametros!B13,1)</f>
        <v>1</v>
      </c>
      <c r="C13" s="30"/>
      <c r="D13" s="30"/>
      <c r="E13" s="30"/>
      <c r="F13" s="30"/>
    </row>
    <row r="14" customFormat="false" ht="15" hidden="false" customHeight="false" outlineLevel="0" collapsed="false">
      <c r="A14" s="21" t="s">
        <v>95</v>
      </c>
      <c r="B14" s="31" t="n">
        <f aca="false">IF(B8="Sim",Parametros!B14,1)</f>
        <v>1</v>
      </c>
      <c r="C14" s="30"/>
      <c r="D14" s="30"/>
      <c r="E14" s="30"/>
      <c r="F14" s="30"/>
    </row>
    <row r="15" customFormat="false" ht="15" hidden="false" customHeight="false" outlineLevel="0" collapsed="false">
      <c r="A15" s="21" t="s">
        <v>96</v>
      </c>
      <c r="B15" s="32" t="n">
        <f aca="false">B12*B13*B14</f>
        <v>0.05</v>
      </c>
      <c r="C15" s="30"/>
      <c r="D15" s="30"/>
      <c r="E15" s="30"/>
      <c r="F15" s="30"/>
    </row>
    <row r="16" customFormat="false" ht="15" hidden="false" customHeight="false" outlineLevel="0" collapsed="false">
      <c r="A16" s="21" t="s">
        <v>97</v>
      </c>
      <c r="B16" s="33" t="n">
        <f aca="false">B5*B15</f>
        <v>14</v>
      </c>
      <c r="C16" s="30"/>
      <c r="D16" s="30"/>
      <c r="E16" s="30"/>
      <c r="F16" s="30"/>
    </row>
    <row r="17" customFormat="false" ht="15" hidden="false" customHeight="false" outlineLevel="0" collapsed="false">
      <c r="A17" s="21" t="s">
        <v>98</v>
      </c>
      <c r="B17" s="34" t="n">
        <f aca="false">B16*B6</f>
        <v>84</v>
      </c>
      <c r="C17" s="30"/>
      <c r="D17" s="30"/>
      <c r="E17" s="30"/>
      <c r="F17" s="30"/>
    </row>
    <row r="18" customFormat="false" ht="15" hidden="false" customHeight="false" outlineLevel="0" collapsed="false">
      <c r="A18" s="21" t="s">
        <v>99</v>
      </c>
      <c r="B18" s="33" t="n">
        <f aca="false">B5*B6</f>
        <v>1680</v>
      </c>
      <c r="C18" s="30"/>
      <c r="D18" s="30"/>
      <c r="E18" s="30"/>
      <c r="F18" s="30"/>
    </row>
    <row r="19" customFormat="false" ht="15" hidden="false" customHeight="false" outlineLevel="0" collapsed="false">
      <c r="A19" s="21" t="s">
        <v>100</v>
      </c>
      <c r="B19" s="32" t="n">
        <f aca="false">B17/B18</f>
        <v>0.05</v>
      </c>
      <c r="C19" s="30"/>
      <c r="D19" s="30"/>
      <c r="E19" s="30"/>
      <c r="F19" s="30"/>
    </row>
    <row r="22" customFormat="false" ht="15" hidden="false" customHeight="false" outlineLevel="0" collapsed="false">
      <c r="A22" s="3" t="s">
        <v>101</v>
      </c>
      <c r="B22" s="3"/>
      <c r="C22" s="3"/>
      <c r="D22" s="3"/>
      <c r="E22" s="3"/>
      <c r="F22" s="3"/>
    </row>
    <row r="23" customFormat="false" ht="15" hidden="false" customHeight="false" outlineLevel="0" collapsed="false">
      <c r="A23" s="35" t="s">
        <v>23</v>
      </c>
      <c r="B23" s="35" t="s">
        <v>25</v>
      </c>
      <c r="C23" s="35" t="s">
        <v>102</v>
      </c>
      <c r="D23" s="35" t="s">
        <v>103</v>
      </c>
      <c r="E23" s="35" t="s">
        <v>104</v>
      </c>
    </row>
    <row r="24" customFormat="false" ht="15" hidden="false" customHeight="false" outlineLevel="0" collapsed="false">
      <c r="A24" s="36" t="s">
        <v>31</v>
      </c>
      <c r="B24" s="37" t="n">
        <f aca="false">VLOOKUP(A24,Tiers!A4:C7,3,FALSE())</f>
        <v>0.03</v>
      </c>
      <c r="C24" s="38" t="n">
        <f aca="false">$B$5*$B$6*B24</f>
        <v>50.4</v>
      </c>
      <c r="D24" s="38" t="n">
        <f aca="false">$B$5*$B$6</f>
        <v>1680</v>
      </c>
      <c r="E24" s="37" t="n">
        <f aca="false">C24/D24</f>
        <v>0.03</v>
      </c>
    </row>
    <row r="25" customFormat="false" ht="15" hidden="false" customHeight="false" outlineLevel="0" collapsed="false">
      <c r="A25" s="39" t="s">
        <v>34</v>
      </c>
      <c r="B25" s="37" t="n">
        <f aca="false">VLOOKUP(A25,Tiers!A4:C7,3,FALSE())</f>
        <v>0.05</v>
      </c>
      <c r="C25" s="38" t="n">
        <f aca="false">$B$5*$B$6*B25</f>
        <v>84</v>
      </c>
      <c r="D25" s="38" t="n">
        <f aca="false">$B$5*$B$6</f>
        <v>1680</v>
      </c>
      <c r="E25" s="37" t="n">
        <f aca="false">C25/D25</f>
        <v>0.05</v>
      </c>
    </row>
    <row r="26" customFormat="false" ht="15" hidden="false" customHeight="false" outlineLevel="0" collapsed="false">
      <c r="A26" s="40" t="s">
        <v>36</v>
      </c>
      <c r="B26" s="37" t="n">
        <f aca="false">VLOOKUP(A26,Tiers!A4:C7,3,FALSE())</f>
        <v>0.07</v>
      </c>
      <c r="C26" s="38" t="n">
        <f aca="false">$B$5*$B$6*B26</f>
        <v>117.6</v>
      </c>
      <c r="D26" s="38" t="n">
        <f aca="false">$B$5*$B$6</f>
        <v>1680</v>
      </c>
      <c r="E26" s="37" t="n">
        <f aca="false">C26/D26</f>
        <v>0.07</v>
      </c>
    </row>
    <row r="27" customFormat="false" ht="15" hidden="false" customHeight="false" outlineLevel="0" collapsed="false">
      <c r="A27" s="41" t="s">
        <v>37</v>
      </c>
      <c r="B27" s="37" t="n">
        <f aca="false">VLOOKUP(A27,Tiers!A4:C7,3,FALSE())</f>
        <v>0.1</v>
      </c>
      <c r="C27" s="38" t="n">
        <f aca="false">$B$5*$B$6*B27</f>
        <v>168</v>
      </c>
      <c r="D27" s="38" t="n">
        <f aca="false">$B$5*$B$6</f>
        <v>1680</v>
      </c>
      <c r="E27" s="37" t="n">
        <f aca="false">C27/D27</f>
        <v>0.1</v>
      </c>
    </row>
  </sheetData>
  <mergeCells count="4">
    <mergeCell ref="A1:F1"/>
    <mergeCell ref="A3:F3"/>
    <mergeCell ref="A11:F11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8"/>
    <col collapsed="false" customWidth="true" hidden="false" outlineLevel="0" max="3" min="3" style="0" width="50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2"/>
  </cols>
  <sheetData>
    <row r="1" customFormat="false" ht="27.75" hidden="false" customHeight="true" outlineLevel="0" collapsed="false">
      <c r="A1" s="9" t="s">
        <v>105</v>
      </c>
      <c r="B1" s="9"/>
      <c r="C1" s="9"/>
      <c r="D1" s="9"/>
      <c r="E1" s="9"/>
      <c r="F1" s="9"/>
    </row>
    <row r="3" customFormat="false" ht="15" hidden="false" customHeight="false" outlineLevel="0" collapsed="false">
      <c r="A3" s="3" t="s">
        <v>106</v>
      </c>
      <c r="B3" s="3"/>
      <c r="C3" s="3"/>
      <c r="D3" s="3"/>
      <c r="E3" s="3"/>
      <c r="F3" s="3"/>
    </row>
    <row r="4" customFormat="false" ht="15" hidden="false" customHeight="false" outlineLevel="0" collapsed="false">
      <c r="A4" s="21" t="s">
        <v>107</v>
      </c>
      <c r="B4" s="42" t="n">
        <v>7695</v>
      </c>
      <c r="C4" s="21" t="s">
        <v>108</v>
      </c>
    </row>
    <row r="5" customFormat="false" ht="15" hidden="false" customHeight="false" outlineLevel="0" collapsed="false">
      <c r="A5" s="21" t="s">
        <v>109</v>
      </c>
      <c r="B5" s="43" t="n">
        <v>0.3</v>
      </c>
      <c r="C5" s="21" t="s">
        <v>110</v>
      </c>
    </row>
    <row r="6" customFormat="false" ht="15" hidden="false" customHeight="false" outlineLevel="0" collapsed="false">
      <c r="A6" s="21" t="s">
        <v>111</v>
      </c>
      <c r="B6" s="43" t="n">
        <v>0.5</v>
      </c>
      <c r="C6" s="21" t="s">
        <v>112</v>
      </c>
    </row>
    <row r="7" customFormat="false" ht="15" hidden="false" customHeight="false" outlineLevel="0" collapsed="false">
      <c r="A7" s="21" t="s">
        <v>85</v>
      </c>
      <c r="B7" s="42" t="n">
        <v>280</v>
      </c>
      <c r="C7" s="21" t="s">
        <v>113</v>
      </c>
    </row>
    <row r="8" customFormat="false" ht="15" hidden="false" customHeight="false" outlineLevel="0" collapsed="false">
      <c r="A8" s="21" t="s">
        <v>114</v>
      </c>
      <c r="B8" s="42" t="n">
        <v>4</v>
      </c>
      <c r="C8" s="21" t="s">
        <v>115</v>
      </c>
    </row>
    <row r="9" customFormat="false" ht="15" hidden="false" customHeight="false" outlineLevel="0" collapsed="false">
      <c r="A9" s="21" t="s">
        <v>116</v>
      </c>
      <c r="B9" s="43" t="n">
        <v>0.15</v>
      </c>
      <c r="C9" s="21" t="s">
        <v>117</v>
      </c>
    </row>
    <row r="10" customFormat="false" ht="15" hidden="false" customHeight="false" outlineLevel="0" collapsed="false">
      <c r="A10" s="21" t="s">
        <v>118</v>
      </c>
      <c r="B10" s="43" t="n">
        <v>0.045</v>
      </c>
      <c r="C10" s="21" t="s">
        <v>119</v>
      </c>
    </row>
    <row r="11" customFormat="false" ht="15" hidden="false" customHeight="false" outlineLevel="0" collapsed="false">
      <c r="A11" s="21" t="s">
        <v>120</v>
      </c>
      <c r="B11" s="43" t="n">
        <v>0.7</v>
      </c>
      <c r="C11" s="21" t="s">
        <v>121</v>
      </c>
    </row>
    <row r="14" customFormat="false" ht="15" hidden="false" customHeight="false" outlineLevel="0" collapsed="false">
      <c r="A14" s="3" t="s">
        <v>93</v>
      </c>
      <c r="B14" s="3"/>
      <c r="C14" s="3"/>
      <c r="D14" s="3"/>
      <c r="E14" s="3"/>
      <c r="F14" s="3"/>
    </row>
    <row r="15" customFormat="false" ht="15" hidden="false" customHeight="false" outlineLevel="0" collapsed="false">
      <c r="A15" s="21" t="s">
        <v>122</v>
      </c>
      <c r="B15" s="44" t="n">
        <f aca="false">B4*B5</f>
        <v>2308.5</v>
      </c>
      <c r="C15" s="30"/>
    </row>
    <row r="16" customFormat="false" ht="15" hidden="false" customHeight="false" outlineLevel="0" collapsed="false">
      <c r="A16" s="21" t="s">
        <v>123</v>
      </c>
      <c r="B16" s="44" t="n">
        <f aca="false">B15*B6</f>
        <v>1154.25</v>
      </c>
      <c r="C16" s="30"/>
    </row>
    <row r="17" customFormat="false" ht="15" hidden="false" customHeight="false" outlineLevel="0" collapsed="false">
      <c r="A17" s="21" t="s">
        <v>124</v>
      </c>
      <c r="B17" s="44" t="n">
        <f aca="false">B16*B8</f>
        <v>4617</v>
      </c>
      <c r="C17" s="30"/>
    </row>
    <row r="18" customFormat="false" ht="15" hidden="false" customHeight="false" outlineLevel="0" collapsed="false">
      <c r="A18" s="21" t="s">
        <v>125</v>
      </c>
      <c r="B18" s="44" t="n">
        <f aca="false">B16*B8*(1+B9)</f>
        <v>5309.55</v>
      </c>
      <c r="C18" s="30"/>
    </row>
    <row r="19" customFormat="false" ht="15" hidden="false" customHeight="false" outlineLevel="0" collapsed="false">
      <c r="A19" s="21" t="s">
        <v>126</v>
      </c>
      <c r="B19" s="44" t="n">
        <f aca="false">B18-B17</f>
        <v>692.549999999999</v>
      </c>
      <c r="C19" s="30"/>
    </row>
    <row r="20" customFormat="false" ht="15" hidden="false" customHeight="false" outlineLevel="0" collapsed="false">
      <c r="A20" s="21" t="s">
        <v>127</v>
      </c>
      <c r="B20" s="45" t="n">
        <f aca="false">B17*B7</f>
        <v>1292760</v>
      </c>
      <c r="C20" s="30"/>
    </row>
    <row r="21" customFormat="false" ht="15" hidden="false" customHeight="false" outlineLevel="0" collapsed="false">
      <c r="A21" s="21" t="s">
        <v>128</v>
      </c>
      <c r="B21" s="45" t="n">
        <f aca="false">B18*B7</f>
        <v>1486674</v>
      </c>
      <c r="C21" s="30"/>
    </row>
    <row r="22" customFormat="false" ht="15" hidden="false" customHeight="false" outlineLevel="0" collapsed="false">
      <c r="A22" s="21" t="s">
        <v>129</v>
      </c>
      <c r="B22" s="45" t="n">
        <f aca="false">B21-B20</f>
        <v>193914</v>
      </c>
      <c r="C22" s="30"/>
    </row>
    <row r="23" customFormat="false" ht="15" hidden="false" customHeight="false" outlineLevel="0" collapsed="false">
      <c r="A23" s="21" t="s">
        <v>130</v>
      </c>
      <c r="B23" s="45" t="n">
        <f aca="false">B21*B10</f>
        <v>66900.33</v>
      </c>
      <c r="C23" s="30"/>
    </row>
    <row r="24" customFormat="false" ht="15" hidden="false" customHeight="false" outlineLevel="0" collapsed="false">
      <c r="A24" s="21" t="s">
        <v>131</v>
      </c>
      <c r="B24" s="45" t="n">
        <f aca="false">B23*B11</f>
        <v>46830.231</v>
      </c>
      <c r="C24" s="30"/>
    </row>
    <row r="25" customFormat="false" ht="15" hidden="false" customHeight="false" outlineLevel="0" collapsed="false">
      <c r="A25" s="21" t="s">
        <v>132</v>
      </c>
      <c r="B25" s="45" t="n">
        <f aca="false">B24</f>
        <v>46830.231</v>
      </c>
      <c r="C25" s="30"/>
    </row>
    <row r="26" customFormat="false" ht="15" hidden="false" customHeight="false" outlineLevel="0" collapsed="false">
      <c r="A26" s="46" t="s">
        <v>133</v>
      </c>
      <c r="B26" s="47" t="n">
        <f aca="false">B22/B25</f>
        <v>4.1407867494824</v>
      </c>
      <c r="C26" s="30"/>
    </row>
    <row r="27" customFormat="false" ht="15" hidden="false" customHeight="false" outlineLevel="0" collapsed="false">
      <c r="A27" s="21" t="s">
        <v>134</v>
      </c>
      <c r="B27" s="48" t="n">
        <f aca="false">B21/B25</f>
        <v>31.7460317460318</v>
      </c>
      <c r="C27" s="30"/>
    </row>
    <row r="29" customFormat="false" ht="15" hidden="false" customHeight="false" outlineLevel="0" collapsed="false">
      <c r="A29" s="3" t="s">
        <v>135</v>
      </c>
      <c r="B29" s="3"/>
      <c r="C29" s="3"/>
      <c r="D29" s="3"/>
      <c r="E29" s="3"/>
      <c r="F29" s="3"/>
    </row>
    <row r="30" customFormat="false" ht="26.85" hidden="false" customHeight="false" outlineLevel="0" collapsed="false">
      <c r="A30" s="49" t="s">
        <v>136</v>
      </c>
      <c r="B30" s="49" t="s">
        <v>137</v>
      </c>
      <c r="C30" s="49" t="s">
        <v>138</v>
      </c>
      <c r="D30" s="49" t="s">
        <v>139</v>
      </c>
      <c r="E30" s="49" t="s">
        <v>140</v>
      </c>
      <c r="F30" s="49" t="s">
        <v>141</v>
      </c>
    </row>
    <row r="31" customFormat="false" ht="15" hidden="false" customHeight="false" outlineLevel="0" collapsed="false">
      <c r="A31" s="50" t="s">
        <v>142</v>
      </c>
      <c r="B31" s="51" t="n">
        <v>0.3</v>
      </c>
      <c r="C31" s="51" t="n">
        <v>0.08</v>
      </c>
      <c r="D31" s="51" t="n">
        <v>0.6</v>
      </c>
      <c r="E31" s="52" t="n">
        <f aca="false">$B$4*$B$5*B31*$B$8*(1+C31)*$B$7*$B$10*D31</f>
        <v>22618.12896</v>
      </c>
      <c r="F31" s="52" t="n">
        <f aca="false">$B$4*$B$5*B31*$B$8*C31*$B$7</f>
        <v>62052.48</v>
      </c>
    </row>
    <row r="32" customFormat="false" ht="15" hidden="false" customHeight="false" outlineLevel="0" collapsed="false">
      <c r="A32" s="50" t="s">
        <v>143</v>
      </c>
      <c r="B32" s="51" t="n">
        <v>0.5</v>
      </c>
      <c r="C32" s="51" t="n">
        <v>0.15</v>
      </c>
      <c r="D32" s="51" t="n">
        <v>0.7</v>
      </c>
      <c r="E32" s="52" t="n">
        <f aca="false">$B$4*$B$5*B32*$B$8*(1+C32)*$B$7*$B$10*D32</f>
        <v>46830.231</v>
      </c>
      <c r="F32" s="52" t="n">
        <f aca="false">$B$4*$B$5*B32*$B$8*C32*$B$7</f>
        <v>193914</v>
      </c>
    </row>
    <row r="33" customFormat="false" ht="15" hidden="false" customHeight="false" outlineLevel="0" collapsed="false">
      <c r="A33" s="50" t="s">
        <v>144</v>
      </c>
      <c r="B33" s="51" t="n">
        <v>0.7</v>
      </c>
      <c r="C33" s="51" t="n">
        <v>0.25</v>
      </c>
      <c r="D33" s="51" t="n">
        <v>0.8</v>
      </c>
      <c r="E33" s="52" t="n">
        <f aca="false">$B$4*$B$5*B33*$B$8*(1+C33)*$B$7*$B$10*D33</f>
        <v>81443.88</v>
      </c>
      <c r="F33" s="52" t="n">
        <f aca="false">$B$4*$B$5*B33*$B$8*C33*$B$7</f>
        <v>452466</v>
      </c>
    </row>
  </sheetData>
  <mergeCells count="4">
    <mergeCell ref="A1:F1"/>
    <mergeCell ref="A3:F3"/>
    <mergeCell ref="A14:F14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5" min="4" style="0" width="22"/>
  </cols>
  <sheetData>
    <row r="1" customFormat="false" ht="27.75" hidden="false" customHeight="true" outlineLevel="0" collapsed="false">
      <c r="A1" s="9" t="s">
        <v>145</v>
      </c>
      <c r="B1" s="9"/>
      <c r="C1" s="9"/>
      <c r="D1" s="9"/>
      <c r="E1" s="9"/>
    </row>
    <row r="3" customFormat="false" ht="15" hidden="false" customHeight="false" outlineLevel="0" collapsed="false">
      <c r="A3" s="5" t="s">
        <v>146</v>
      </c>
      <c r="B3" s="5"/>
      <c r="C3" s="5"/>
      <c r="D3" s="5"/>
      <c r="E3" s="5"/>
    </row>
    <row r="5" customFormat="false" ht="31.5" hidden="false" customHeight="true" outlineLevel="0" collapsed="false">
      <c r="A5" s="49" t="s">
        <v>23</v>
      </c>
      <c r="B5" s="49" t="s">
        <v>147</v>
      </c>
      <c r="C5" s="49" t="s">
        <v>148</v>
      </c>
      <c r="D5" s="49" t="s">
        <v>149</v>
      </c>
      <c r="E5" s="49" t="s">
        <v>150</v>
      </c>
    </row>
    <row r="6" customFormat="false" ht="15" hidden="false" customHeight="false" outlineLevel="0" collapsed="false">
      <c r="A6" s="36" t="s">
        <v>31</v>
      </c>
      <c r="B6" s="51" t="n">
        <v>0.65</v>
      </c>
      <c r="C6" s="53" t="n">
        <f aca="false">ROUND($B$11*B6,0)</f>
        <v>750</v>
      </c>
      <c r="D6" s="54" t="n">
        <v>800</v>
      </c>
      <c r="E6" s="52" t="n">
        <f aca="false">C6*D6</f>
        <v>600000</v>
      </c>
    </row>
    <row r="7" customFormat="false" ht="15" hidden="false" customHeight="false" outlineLevel="0" collapsed="false">
      <c r="A7" s="39" t="s">
        <v>34</v>
      </c>
      <c r="B7" s="51" t="n">
        <v>0.25</v>
      </c>
      <c r="C7" s="53" t="n">
        <f aca="false">ROUND($B$11*B7,0)</f>
        <v>289</v>
      </c>
      <c r="D7" s="54" t="n">
        <v>2200</v>
      </c>
      <c r="E7" s="52" t="n">
        <f aca="false">C7*D7</f>
        <v>635800</v>
      </c>
    </row>
    <row r="8" customFormat="false" ht="15" hidden="false" customHeight="false" outlineLevel="0" collapsed="false">
      <c r="A8" s="40" t="s">
        <v>36</v>
      </c>
      <c r="B8" s="51" t="n">
        <v>0.08</v>
      </c>
      <c r="C8" s="53" t="n">
        <f aca="false">ROUND($B$11*B8,0)</f>
        <v>92</v>
      </c>
      <c r="D8" s="54" t="n">
        <v>5500</v>
      </c>
      <c r="E8" s="52" t="n">
        <f aca="false">C8*D8</f>
        <v>506000</v>
      </c>
    </row>
    <row r="9" customFormat="false" ht="15" hidden="false" customHeight="false" outlineLevel="0" collapsed="false">
      <c r="A9" s="41" t="s">
        <v>37</v>
      </c>
      <c r="B9" s="51" t="n">
        <v>0.02</v>
      </c>
      <c r="C9" s="53" t="n">
        <f aca="false">ROUND($B$11*B9,0)</f>
        <v>23</v>
      </c>
      <c r="D9" s="54" t="n">
        <v>14000</v>
      </c>
      <c r="E9" s="52" t="n">
        <f aca="false">C9*D9</f>
        <v>322000</v>
      </c>
    </row>
    <row r="10" customFormat="false" ht="15" hidden="false" customHeight="false" outlineLevel="0" collapsed="false">
      <c r="A10" s="55" t="s">
        <v>151</v>
      </c>
      <c r="B10" s="56" t="n">
        <f aca="false">SUM(B6:B9)</f>
        <v>1</v>
      </c>
      <c r="C10" s="57" t="n">
        <f aca="false">SUM(C6:C9)</f>
        <v>1154</v>
      </c>
      <c r="D10" s="58"/>
      <c r="E10" s="59" t="n">
        <f aca="false">SUM(E6:E9)</f>
        <v>2063800</v>
      </c>
    </row>
    <row r="11" customFormat="false" ht="15" hidden="false" customHeight="false" outlineLevel="0" collapsed="false">
      <c r="A11" s="19" t="s">
        <v>152</v>
      </c>
      <c r="B11" s="60" t="n">
        <v>1154</v>
      </c>
    </row>
  </sheetData>
  <mergeCells count="2">
    <mergeCell ref="A1:E1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27.75" hidden="false" customHeight="true" outlineLevel="0" collapsed="false">
      <c r="A1" s="9" t="s">
        <v>153</v>
      </c>
      <c r="B1" s="9"/>
      <c r="C1" s="9"/>
      <c r="D1" s="9"/>
      <c r="E1" s="9"/>
    </row>
    <row r="3" customFormat="false" ht="24" hidden="false" customHeight="true" outlineLevel="0" collapsed="false">
      <c r="A3" s="35" t="s">
        <v>154</v>
      </c>
      <c r="B3" s="35" t="s">
        <v>155</v>
      </c>
      <c r="C3" s="35" t="s">
        <v>156</v>
      </c>
      <c r="D3" s="35" t="s">
        <v>157</v>
      </c>
      <c r="E3" s="35" t="s">
        <v>158</v>
      </c>
    </row>
    <row r="4" customFormat="false" ht="15" hidden="false" customHeight="false" outlineLevel="0" collapsed="false">
      <c r="A4" s="61" t="s">
        <v>159</v>
      </c>
      <c r="B4" s="61" t="s">
        <v>160</v>
      </c>
      <c r="C4" s="62" t="s">
        <v>161</v>
      </c>
      <c r="D4" s="61" t="s">
        <v>162</v>
      </c>
      <c r="E4" s="61" t="s">
        <v>163</v>
      </c>
    </row>
    <row r="5" customFormat="false" ht="15" hidden="false" customHeight="false" outlineLevel="0" collapsed="false">
      <c r="A5" s="61" t="s">
        <v>159</v>
      </c>
      <c r="B5" s="61" t="s">
        <v>160</v>
      </c>
      <c r="C5" s="62" t="s">
        <v>164</v>
      </c>
      <c r="D5" s="61" t="s">
        <v>162</v>
      </c>
      <c r="E5" s="61" t="s">
        <v>163</v>
      </c>
    </row>
    <row r="6" customFormat="false" ht="15" hidden="false" customHeight="false" outlineLevel="0" collapsed="false">
      <c r="A6" s="61" t="s">
        <v>159</v>
      </c>
      <c r="B6" s="61" t="s">
        <v>165</v>
      </c>
      <c r="C6" s="62" t="s">
        <v>166</v>
      </c>
      <c r="D6" s="61" t="s">
        <v>167</v>
      </c>
      <c r="E6" s="61" t="s">
        <v>163</v>
      </c>
    </row>
    <row r="7" customFormat="false" ht="15" hidden="false" customHeight="false" outlineLevel="0" collapsed="false">
      <c r="A7" s="61" t="s">
        <v>168</v>
      </c>
      <c r="B7" s="61" t="s">
        <v>160</v>
      </c>
      <c r="C7" s="62" t="s">
        <v>169</v>
      </c>
      <c r="D7" s="61" t="s">
        <v>162</v>
      </c>
      <c r="E7" s="61" t="s">
        <v>163</v>
      </c>
    </row>
    <row r="8" customFormat="false" ht="15" hidden="false" customHeight="false" outlineLevel="0" collapsed="false">
      <c r="A8" s="61" t="s">
        <v>168</v>
      </c>
      <c r="B8" s="61" t="s">
        <v>160</v>
      </c>
      <c r="C8" s="62" t="s">
        <v>170</v>
      </c>
      <c r="D8" s="61" t="s">
        <v>162</v>
      </c>
      <c r="E8" s="61" t="s">
        <v>163</v>
      </c>
    </row>
    <row r="9" customFormat="false" ht="15" hidden="false" customHeight="false" outlineLevel="0" collapsed="false">
      <c r="A9" s="61" t="s">
        <v>168</v>
      </c>
      <c r="B9" s="61" t="s">
        <v>171</v>
      </c>
      <c r="C9" s="62" t="s">
        <v>172</v>
      </c>
      <c r="D9" s="61" t="s">
        <v>171</v>
      </c>
      <c r="E9" s="61" t="s">
        <v>163</v>
      </c>
    </row>
    <row r="10" customFormat="false" ht="15" hidden="false" customHeight="false" outlineLevel="0" collapsed="false">
      <c r="A10" s="61" t="s">
        <v>173</v>
      </c>
      <c r="B10" s="61" t="s">
        <v>165</v>
      </c>
      <c r="C10" s="62" t="s">
        <v>174</v>
      </c>
      <c r="D10" s="61" t="s">
        <v>175</v>
      </c>
      <c r="E10" s="61" t="s">
        <v>163</v>
      </c>
    </row>
    <row r="11" customFormat="false" ht="15" hidden="false" customHeight="false" outlineLevel="0" collapsed="false">
      <c r="A11" s="61" t="s">
        <v>173</v>
      </c>
      <c r="B11" s="61" t="s">
        <v>171</v>
      </c>
      <c r="C11" s="62" t="s">
        <v>176</v>
      </c>
      <c r="D11" s="61" t="s">
        <v>171</v>
      </c>
      <c r="E11" s="61" t="s">
        <v>163</v>
      </c>
    </row>
    <row r="12" customFormat="false" ht="15" hidden="false" customHeight="false" outlineLevel="0" collapsed="false">
      <c r="A12" s="61" t="s">
        <v>177</v>
      </c>
      <c r="B12" s="61" t="s">
        <v>165</v>
      </c>
      <c r="C12" s="62" t="s">
        <v>178</v>
      </c>
      <c r="D12" s="61" t="s">
        <v>179</v>
      </c>
      <c r="E12" s="61" t="s">
        <v>163</v>
      </c>
    </row>
    <row r="13" customFormat="false" ht="15" hidden="false" customHeight="false" outlineLevel="0" collapsed="false">
      <c r="A13" s="61" t="s">
        <v>177</v>
      </c>
      <c r="B13" s="61" t="s">
        <v>165</v>
      </c>
      <c r="C13" s="62" t="s">
        <v>180</v>
      </c>
      <c r="D13" s="61" t="s">
        <v>175</v>
      </c>
      <c r="E13" s="61" t="s">
        <v>163</v>
      </c>
    </row>
    <row r="14" customFormat="false" ht="15" hidden="false" customHeight="false" outlineLevel="0" collapsed="false">
      <c r="A14" s="61" t="s">
        <v>181</v>
      </c>
      <c r="B14" s="61" t="s">
        <v>165</v>
      </c>
      <c r="C14" s="62" t="s">
        <v>182</v>
      </c>
      <c r="D14" s="61" t="s">
        <v>183</v>
      </c>
      <c r="E14" s="61" t="s">
        <v>163</v>
      </c>
    </row>
    <row r="15" customFormat="false" ht="15" hidden="false" customHeight="false" outlineLevel="0" collapsed="false">
      <c r="A15" s="61" t="s">
        <v>181</v>
      </c>
      <c r="B15" s="61" t="s">
        <v>171</v>
      </c>
      <c r="C15" s="62" t="s">
        <v>184</v>
      </c>
      <c r="D15" s="61" t="s">
        <v>171</v>
      </c>
      <c r="E15" s="61" t="s">
        <v>163</v>
      </c>
    </row>
    <row r="16" customFormat="false" ht="15" hidden="false" customHeight="false" outlineLevel="0" collapsed="false">
      <c r="A16" s="61" t="s">
        <v>185</v>
      </c>
      <c r="B16" s="61" t="s">
        <v>165</v>
      </c>
      <c r="C16" s="62" t="s">
        <v>186</v>
      </c>
      <c r="D16" s="61" t="s">
        <v>175</v>
      </c>
      <c r="E16" s="61" t="s">
        <v>163</v>
      </c>
    </row>
    <row r="17" customFormat="false" ht="15" hidden="false" customHeight="false" outlineLevel="0" collapsed="false">
      <c r="A17" s="61" t="s">
        <v>185</v>
      </c>
      <c r="B17" s="61" t="s">
        <v>171</v>
      </c>
      <c r="C17" s="62" t="s">
        <v>187</v>
      </c>
      <c r="D17" s="61" t="s">
        <v>171</v>
      </c>
      <c r="E17" s="61" t="s">
        <v>163</v>
      </c>
    </row>
    <row r="18" customFormat="false" ht="15" hidden="false" customHeight="false" outlineLevel="0" collapsed="false">
      <c r="A18" s="61" t="s">
        <v>188</v>
      </c>
      <c r="B18" s="61" t="s">
        <v>165</v>
      </c>
      <c r="C18" s="62" t="s">
        <v>189</v>
      </c>
      <c r="D18" s="61" t="s">
        <v>175</v>
      </c>
      <c r="E18" s="61" t="s">
        <v>163</v>
      </c>
    </row>
    <row r="19" customFormat="false" ht="15" hidden="false" customHeight="false" outlineLevel="0" collapsed="false">
      <c r="A19" s="61" t="s">
        <v>188</v>
      </c>
      <c r="B19" s="61" t="s">
        <v>160</v>
      </c>
      <c r="C19" s="62" t="s">
        <v>190</v>
      </c>
      <c r="D19" s="61" t="s">
        <v>162</v>
      </c>
      <c r="E19" s="61" t="s">
        <v>163</v>
      </c>
    </row>
    <row r="20" customFormat="false" ht="15" hidden="false" customHeight="false" outlineLevel="0" collapsed="false">
      <c r="A20" s="61" t="s">
        <v>191</v>
      </c>
      <c r="B20" s="61" t="s">
        <v>192</v>
      </c>
      <c r="C20" s="62" t="s">
        <v>193</v>
      </c>
      <c r="D20" s="61" t="s">
        <v>194</v>
      </c>
      <c r="E20" s="61" t="s">
        <v>163</v>
      </c>
    </row>
    <row r="21" customFormat="false" ht="15" hidden="false" customHeight="false" outlineLevel="0" collapsed="false">
      <c r="A21" s="61" t="s">
        <v>191</v>
      </c>
      <c r="B21" s="61" t="s">
        <v>171</v>
      </c>
      <c r="C21" s="62" t="s">
        <v>195</v>
      </c>
      <c r="D21" s="61" t="s">
        <v>171</v>
      </c>
      <c r="E21" s="61" t="s">
        <v>163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2026-05-26T20:03:00Z</dcterms:created>
  <dc:creator>openpyxl</dc:creator>
  <dc:description/>
  <dc:language>en-US</dc:language>
  <cp:lastModifiedBy/>
  <dcterms:modified xsi:type="dcterms:W3CDTF">2026-05-26T20:03:00Z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